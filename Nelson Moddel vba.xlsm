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33695\Documents\dousou_mande\"/>
    </mc:Choice>
  </mc:AlternateContent>
  <xr:revisionPtr revIDLastSave="0" documentId="13_ncr:1_{B2D6A352-4002-4C2B-BFD9-5EAD3459EA3E}" xr6:coauthVersionLast="47" xr6:coauthVersionMax="47" xr10:uidLastSave="{00000000-0000-0000-0000-000000000000}"/>
  <bookViews>
    <workbookView xWindow="-120" yWindow="-120" windowWidth="20730" windowHeight="11040" xr2:uid="{65B56ECC-419A-42CD-A46C-A7AED9BAA84B}"/>
  </bookViews>
  <sheets>
    <sheet name="ZC Yield Curve" sheetId="1" r:id="rId1"/>
  </sheets>
  <functionGroups builtInGroupCount="19"/>
  <externalReferences>
    <externalReference r:id="rId2"/>
  </externalReferences>
  <definedNames>
    <definedName name="ExternalData_1" localSheetId="0" hidden="1">'ZC Yield Curve'!#REF!</definedName>
    <definedName name="solver_adj" localSheetId="0" hidden="1">'ZC Yield Curve'!$E$6:$J$6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'ZC Yield Curve'!$E$8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'ZC Yield Curve'!$K$6</definedName>
    <definedName name="solver_pre" localSheetId="0" hidden="1">0.000001</definedName>
    <definedName name="solver_rbv" localSheetId="0" hidden="1">2</definedName>
    <definedName name="solver_rel1" localSheetId="0" hidden="1">3</definedName>
    <definedName name="solver_rhs1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2" i="1" l="1" a="1"/>
  <c r="O24" i="1" a="1"/>
  <c r="O16" i="1" a="1"/>
  <c r="O8" i="1" a="1"/>
  <c r="O29" i="1" a="1"/>
  <c r="O21" i="1" a="1"/>
  <c r="O13" i="1" a="1"/>
  <c r="O23" i="1" a="1"/>
  <c r="O5" i="1" a="1"/>
  <c r="O19" i="1" a="1"/>
  <c r="O34" i="1" a="1"/>
  <c r="O26" i="1" a="1"/>
  <c r="O18" i="1" a="1"/>
  <c r="O10" i="1" a="1"/>
  <c r="O15" i="1" a="1"/>
  <c r="O7" i="1" a="1"/>
  <c r="O31" i="1" a="1"/>
  <c r="O28" i="1" a="1"/>
  <c r="O20" i="1" a="1"/>
  <c r="O12" i="1" a="1"/>
  <c r="O22" i="1" a="1"/>
  <c r="O6" i="1" a="1"/>
  <c r="O11" i="1" a="1"/>
  <c r="O33" i="1" a="1"/>
  <c r="O25" i="1" a="1"/>
  <c r="O17" i="1" a="1"/>
  <c r="O9" i="1" a="1"/>
  <c r="O30" i="1" a="1"/>
  <c r="O14" i="1" a="1"/>
  <c r="O27" i="1" a="1"/>
  <c r="O27" i="1" l="1"/>
  <c r="P27" i="1" s="1"/>
  <c r="O14" i="1"/>
  <c r="P14" i="1" s="1"/>
  <c r="O30" i="1"/>
  <c r="P30" i="1" s="1"/>
  <c r="O9" i="1"/>
  <c r="P9" i="1" s="1"/>
  <c r="O17" i="1"/>
  <c r="P17" i="1" s="1"/>
  <c r="O25" i="1"/>
  <c r="P25" i="1" s="1"/>
  <c r="O33" i="1"/>
  <c r="P33" i="1" s="1"/>
  <c r="O11" i="1"/>
  <c r="P11" i="1" s="1"/>
  <c r="O6" i="1"/>
  <c r="P6" i="1" s="1"/>
  <c r="O22" i="1"/>
  <c r="P22" i="1" s="1"/>
  <c r="O12" i="1"/>
  <c r="P12" i="1" s="1"/>
  <c r="O20" i="1"/>
  <c r="P20" i="1" s="1"/>
  <c r="O28" i="1"/>
  <c r="P28" i="1" s="1"/>
  <c r="O31" i="1"/>
  <c r="P31" i="1" s="1"/>
  <c r="O7" i="1"/>
  <c r="P7" i="1" s="1"/>
  <c r="O15" i="1"/>
  <c r="P15" i="1" s="1"/>
  <c r="O10" i="1"/>
  <c r="P10" i="1" s="1"/>
  <c r="O18" i="1"/>
  <c r="P18" i="1" s="1"/>
  <c r="O26" i="1"/>
  <c r="P26" i="1" s="1"/>
  <c r="O34" i="1"/>
  <c r="P34" i="1" s="1"/>
  <c r="O19" i="1"/>
  <c r="P19" i="1" s="1"/>
  <c r="O5" i="1"/>
  <c r="O23" i="1"/>
  <c r="P23" i="1" s="1"/>
  <c r="O13" i="1"/>
  <c r="P13" i="1" s="1"/>
  <c r="O21" i="1"/>
  <c r="P21" i="1" s="1"/>
  <c r="O29" i="1"/>
  <c r="P29" i="1" s="1"/>
  <c r="O8" i="1"/>
  <c r="P8" i="1" s="1"/>
  <c r="O16" i="1"/>
  <c r="P16" i="1" s="1"/>
  <c r="O24" i="1"/>
  <c r="P24" i="1" s="1"/>
  <c r="O32" i="1"/>
  <c r="P32" i="1" s="1"/>
  <c r="P5" i="1" l="1"/>
  <c r="K6" i="1" s="1"/>
  <c r="L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<sst xmlns="http://schemas.openxmlformats.org/spreadsheetml/2006/main" count="14" uniqueCount="13">
  <si>
    <t>Year</t>
  </si>
  <si>
    <t>Zero-Coupon rate</t>
  </si>
  <si>
    <t>Nelson-Siegel-Svensson Model</t>
  </si>
  <si>
    <t>Model</t>
  </si>
  <si>
    <t>Residuals Squared</t>
  </si>
  <si>
    <t>β0</t>
  </si>
  <si>
    <t>β1</t>
  </si>
  <si>
    <t>β2</t>
  </si>
  <si>
    <t>β3</t>
  </si>
  <si>
    <t>λ</t>
  </si>
  <si>
    <t>μ</t>
  </si>
  <si>
    <t xml:space="preserve">RSS </t>
  </si>
  <si>
    <t>R-Squared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</si>
</sst>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%"/>
    <numFmt numFmtId="165" formatCode="0.00000"/>
    <numFmt numFmtId="166" formatCode="0.000000"/>
    <numFmt numFmtId="167" formatCode="0.0000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4"/>
      <color rgb="FF0000FF"/>
      <name val="Calibri"/>
      <family val="2"/>
    </font>
    <font>
      <sz val="11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339A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0">
    <xf numFmtId="0" fontId="0" fillId="0" borderId="0" xfId="0"/>
    <xf numFmtId="0" fontId="0" fillId="2" borderId="1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2" borderId="5" xfId="0" applyFill="1" applyBorder="1" applyAlignment="1">
      <alignment horizontal="center"/>
    </xf>
    <xf numFmtId="164" fontId="0" fillId="0" borderId="6" xfId="1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0" borderId="4" xfId="0" applyFon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4" fontId="0" fillId="2" borderId="8" xfId="1" applyNumberFormat="1" applyFont="1" applyFill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0" fontId="0" fillId="2" borderId="7" xfId="0" applyFill="1" applyBorder="1" applyAlignment="1">
      <alignment horizontal="center"/>
    </xf>
    <xf numFmtId="164" fontId="0" fillId="0" borderId="8" xfId="1" applyNumberFormat="1" applyFont="1" applyBorder="1" applyAlignment="1">
      <alignment horizontal="center"/>
    </xf>
    <xf numFmtId="166" fontId="0" fillId="4" borderId="1" xfId="0" applyNumberFormat="1" applyFill="1" applyBorder="1" applyAlignment="1">
      <alignment horizontal="center"/>
    </xf>
    <xf numFmtId="166" fontId="0" fillId="4" borderId="2" xfId="0" applyNumberFormat="1" applyFill="1" applyBorder="1" applyAlignment="1">
      <alignment horizontal="center"/>
    </xf>
    <xf numFmtId="166" fontId="0" fillId="4" borderId="4" xfId="0" applyNumberFormat="1" applyFill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7" fontId="0" fillId="2" borderId="3" xfId="0" applyNumberFormat="1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164" fontId="0" fillId="0" borderId="11" xfId="1" applyNumberFormat="1" applyFont="1" applyBorder="1" applyAlignment="1">
      <alignment horizontal="center"/>
    </xf>
    <xf numFmtId="0" fontId="0" fillId="0" borderId="10" xfId="0" applyBorder="1" applyAlignment="1">
      <alignment horizontal="center"/>
    </xf>
    <xf numFmtId="164" fontId="0" fillId="2" borderId="11" xfId="1" applyNumberFormat="1" applyFont="1" applyFill="1" applyBorder="1" applyAlignment="1">
      <alignment horizontal="center"/>
    </xf>
    <xf numFmtId="165" fontId="0" fillId="0" borderId="12" xfId="0" applyNumberForma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Zero-Coupon Yield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'ZC Yield Curve'!$C$4</c:f>
              <c:strCache>
                <c:ptCount val="1"/>
                <c:pt idx="0">
                  <c:v>Zero-Coupon rate</c:v>
                </c:pt>
              </c:strCache>
            </c:strRef>
          </c:tx>
          <c:spPr>
            <a:ln w="12700" cap="rnd">
              <a:solidFill>
                <a:srgbClr val="3717F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2700">
                <a:solidFill>
                  <a:srgbClr val="3717F9"/>
                </a:solidFill>
              </a:ln>
              <a:effectLst/>
            </c:spPr>
          </c:marker>
          <c:val>
            <c:numRef>
              <c:f>'ZC Yield Curve'!$C$5:$C$34</c:f>
              <c:numCache>
                <c:formatCode>0.000%</c:formatCode>
                <c:ptCount val="30"/>
                <c:pt idx="0">
                  <c:v>-3.9370999999999998E-3</c:v>
                </c:pt>
                <c:pt idx="1">
                  <c:v>9.9170000000000009E-4</c:v>
                </c:pt>
                <c:pt idx="2">
                  <c:v>7.0100000000000002E-4</c:v>
                </c:pt>
                <c:pt idx="3">
                  <c:v>1.7043E-3</c:v>
                </c:pt>
                <c:pt idx="4">
                  <c:v>2.3376999999999998E-3</c:v>
                </c:pt>
                <c:pt idx="5">
                  <c:v>2.8211E-3</c:v>
                </c:pt>
                <c:pt idx="6">
                  <c:v>3.2856999999999999E-3</c:v>
                </c:pt>
                <c:pt idx="7">
                  <c:v>3.7620000000000002E-3</c:v>
                </c:pt>
                <c:pt idx="8">
                  <c:v>4.2196000000000004E-3</c:v>
                </c:pt>
                <c:pt idx="9">
                  <c:v>4.6277000000000002E-3</c:v>
                </c:pt>
                <c:pt idx="10">
                  <c:v>5.0168000000000001E-3</c:v>
                </c:pt>
                <c:pt idx="11">
                  <c:v>5.3454000000000002E-3</c:v>
                </c:pt>
                <c:pt idx="12">
                  <c:v>5.6439999999999997E-3</c:v>
                </c:pt>
                <c:pt idx="13">
                  <c:v>5.8809999999999999E-3</c:v>
                </c:pt>
                <c:pt idx="14">
                  <c:v>6.0556999999999998E-3</c:v>
                </c:pt>
                <c:pt idx="15">
                  <c:v>6.1782E-3</c:v>
                </c:pt>
                <c:pt idx="16">
                  <c:v>6.2481000000000004E-3</c:v>
                </c:pt>
                <c:pt idx="17">
                  <c:v>6.2651E-3</c:v>
                </c:pt>
                <c:pt idx="18">
                  <c:v>6.2505E-3</c:v>
                </c:pt>
                <c:pt idx="19">
                  <c:v>6.2040000000000003E-3</c:v>
                </c:pt>
                <c:pt idx="20">
                  <c:v>6.1364999999999996E-3</c:v>
                </c:pt>
                <c:pt idx="21">
                  <c:v>6.0479000000000002E-3</c:v>
                </c:pt>
                <c:pt idx="22">
                  <c:v>5.9489E-3</c:v>
                </c:pt>
                <c:pt idx="23">
                  <c:v>5.8396000000000003E-3</c:v>
                </c:pt>
                <c:pt idx="24">
                  <c:v>5.7092000000000002E-3</c:v>
                </c:pt>
                <c:pt idx="25">
                  <c:v>5.5792999999999997E-3</c:v>
                </c:pt>
                <c:pt idx="26">
                  <c:v>5.4390999999999997E-3</c:v>
                </c:pt>
                <c:pt idx="27">
                  <c:v>5.2887000000000003E-3</c:v>
                </c:pt>
                <c:pt idx="28">
                  <c:v>5.1495000000000004E-3</c:v>
                </c:pt>
                <c:pt idx="29">
                  <c:v>5.0214999999999999E-3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2B-415D-B446-0F714C7E0301}"/>
            </c:ext>
          </c:extLst>
        </c:ser>
        <c:ser>
          <c:idx val="1"/>
          <c:order val="1"/>
          <c:tx>
            <c:strRef>
              <c:f>'ZC Yield Curve'!$O$4</c:f>
              <c:strCache>
                <c:ptCount val="1"/>
                <c:pt idx="0">
                  <c:v>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'ZC Yield Curve'!$O$5:$O$34</c:f>
              <c:numCache>
                <c:formatCode>0.000%</c:formatCode>
                <c:ptCount val="30"/>
                <c:pt idx="0">
                  <c:v>-3.9130405985741273E-3</c:v>
                </c:pt>
                <c:pt idx="1">
                  <c:v>8.6388666789469909E-4</c:v>
                </c:pt>
                <c:pt idx="2">
                  <c:v>7.3006331662296871E-4</c:v>
                </c:pt>
                <c:pt idx="3">
                  <c:v>1.6662386223428045E-3</c:v>
                </c:pt>
                <c:pt idx="4">
                  <c:v>2.5546012949456045E-3</c:v>
                </c:pt>
                <c:pt idx="5">
                  <c:v>3.2333724259044679E-3</c:v>
                </c:pt>
                <c:pt idx="6">
                  <c:v>3.7400958351802354E-3</c:v>
                </c:pt>
                <c:pt idx="7">
                  <c:v>4.1255639094415321E-3</c:v>
                </c:pt>
                <c:pt idx="8">
                  <c:v>4.4267014986575873E-3</c:v>
                </c:pt>
                <c:pt idx="9">
                  <c:v>4.6679346343475678E-3</c:v>
                </c:pt>
                <c:pt idx="10">
                  <c:v>4.8653853042298894E-3</c:v>
                </c:pt>
                <c:pt idx="11">
                  <c:v>5.0299463378055192E-3</c:v>
                </c:pt>
                <c:pt idx="12">
                  <c:v>5.1691948054289599E-3</c:v>
                </c:pt>
                <c:pt idx="13">
                  <c:v>5.2885517167459567E-3</c:v>
                </c:pt>
                <c:pt idx="14">
                  <c:v>5.3919946319583821E-3</c:v>
                </c:pt>
                <c:pt idx="15">
                  <c:v>5.4825072445578403E-3</c:v>
                </c:pt>
                <c:pt idx="16">
                  <c:v>5.5623713292372165E-3</c:v>
                </c:pt>
                <c:pt idx="17">
                  <c:v>5.6333616302423513E-3</c:v>
                </c:pt>
                <c:pt idx="18">
                  <c:v>5.6968792688201529E-3</c:v>
                </c:pt>
                <c:pt idx="19">
                  <c:v>5.7540451437392013E-3</c:v>
                </c:pt>
                <c:pt idx="20">
                  <c:v>5.8057666496656706E-3</c:v>
                </c:pt>
                <c:pt idx="21">
                  <c:v>5.8527862005191712E-3</c:v>
                </c:pt>
                <c:pt idx="22">
                  <c:v>5.8957170947793874E-3</c:v>
                </c:pt>
                <c:pt idx="23">
                  <c:v>5.9350704145185564E-3</c:v>
                </c:pt>
                <c:pt idx="24">
                  <c:v>5.9712754686787389E-3</c:v>
                </c:pt>
                <c:pt idx="25">
                  <c:v>6.0046955186727896E-3</c:v>
                </c:pt>
                <c:pt idx="26">
                  <c:v>6.0356400094080326E-3</c:v>
                </c:pt>
                <c:pt idx="27">
                  <c:v>6.0643741793764746E-3</c:v>
                </c:pt>
                <c:pt idx="28">
                  <c:v>6.0911266824505393E-3</c:v>
                </c:pt>
                <c:pt idx="29">
                  <c:v>6.1160956853196693E-3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2B-415D-B446-0F714C7E0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9102832"/>
        <c:axId val="1119112816"/>
      </c:lineChart>
      <c:catAx>
        <c:axId val="111910283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9112816"/>
        <c:crosses val="autoZero"/>
        <c:auto val="1"/>
        <c:lblAlgn val="ctr"/>
        <c:lblOffset val="100"/>
        <c:noMultiLvlLbl val="0"/>
      </c:catAx>
      <c:valAx>
        <c:axId val="111911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Zero-Coupon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910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27555</xdr:colOff>
      <xdr:row>7</xdr:row>
      <xdr:rowOff>16895</xdr:rowOff>
    </xdr:from>
    <xdr:to>
      <xdr:col>11</xdr:col>
      <xdr:colOff>1016000</xdr:colOff>
      <xdr:row>34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39BBA5-C513-42AE-AB76-C611E64A0B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85725</xdr:rowOff>
        </xdr:from>
        <xdr:to>
          <xdr:col>12</xdr:col>
          <xdr:colOff>9525</xdr:colOff>
          <xdr:row>1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9BA9626-DAE2-4936-953D-99175D4687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SOLVE NELSON-SIEGEL-SVENSSON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95\Downloads\ETUDIANT_12200483.xlsm" TargetMode="External"/><Relationship Id="rId1" Type="http://schemas.openxmlformats.org/officeDocument/2006/relationships/externalLinkPath" Target="/Users/33695/Downloads/ETUDIANT_1220048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AMEN"/>
      <sheetName val="ESG"/>
      <sheetName val="Data"/>
      <sheetName val="Analysis"/>
      <sheetName val="Partie A"/>
      <sheetName val=" Questions 1 - 9"/>
      <sheetName val="Loan"/>
      <sheetName val="Partie B"/>
      <sheetName val="ZC Yield Curve"/>
      <sheetName val="Model Results"/>
      <sheetName val="Partie C"/>
      <sheetName val="Imposition"/>
      <sheetName val="Simulateur"/>
      <sheetName val="Abattement"/>
      <sheetName val="Solver Impots"/>
      <sheetName val="Partie D"/>
      <sheetName val="Implied Volatility"/>
      <sheetName val="Expiration Date"/>
    </sheetNames>
    <definedNames>
      <definedName name="SolverNS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4">
          <cell r="C4" t="str">
            <v>Zero-Coupon rate</v>
          </cell>
          <cell r="P4" t="str">
            <v>Model</v>
          </cell>
        </row>
        <row r="5">
          <cell r="C5">
            <v>-3.9370999999999998E-3</v>
          </cell>
          <cell r="P5">
            <v>-3.9130405985741273E-3</v>
          </cell>
        </row>
        <row r="6">
          <cell r="C6">
            <v>9.9170000000000009E-4</v>
          </cell>
          <cell r="P6">
            <v>8.6388666789469909E-4</v>
          </cell>
        </row>
        <row r="7">
          <cell r="C7">
            <v>7.0100000000000002E-4</v>
          </cell>
          <cell r="P7">
            <v>7.3006331662296871E-4</v>
          </cell>
        </row>
        <row r="8">
          <cell r="C8">
            <v>1.7043E-3</v>
          </cell>
          <cell r="P8">
            <v>1.6662386223428045E-3</v>
          </cell>
        </row>
        <row r="9">
          <cell r="C9">
            <v>2.3376999999999998E-3</v>
          </cell>
          <cell r="P9">
            <v>2.5546012949456045E-3</v>
          </cell>
        </row>
        <row r="10">
          <cell r="C10">
            <v>2.8211E-3</v>
          </cell>
          <cell r="P10">
            <v>3.2333724259044679E-3</v>
          </cell>
        </row>
        <row r="11">
          <cell r="C11">
            <v>3.2856999999999999E-3</v>
          </cell>
          <cell r="P11">
            <v>3.7400958351802354E-3</v>
          </cell>
        </row>
        <row r="12">
          <cell r="C12">
            <v>3.7620000000000002E-3</v>
          </cell>
          <cell r="P12">
            <v>4.1255639094415321E-3</v>
          </cell>
        </row>
        <row r="13">
          <cell r="C13">
            <v>4.2196000000000004E-3</v>
          </cell>
          <cell r="P13">
            <v>4.4267014986575873E-3</v>
          </cell>
        </row>
        <row r="14">
          <cell r="C14">
            <v>4.6277000000000002E-3</v>
          </cell>
          <cell r="P14">
            <v>4.6679346343475678E-3</v>
          </cell>
        </row>
        <row r="15">
          <cell r="C15">
            <v>5.0168000000000001E-3</v>
          </cell>
          <cell r="P15">
            <v>4.8653853042298894E-3</v>
          </cell>
        </row>
        <row r="16">
          <cell r="C16">
            <v>5.3454000000000002E-3</v>
          </cell>
          <cell r="P16">
            <v>5.0299463378055192E-3</v>
          </cell>
        </row>
        <row r="17">
          <cell r="C17">
            <v>5.6439999999999997E-3</v>
          </cell>
          <cell r="P17">
            <v>5.1691948054289599E-3</v>
          </cell>
        </row>
        <row r="18">
          <cell r="C18">
            <v>5.8809999999999999E-3</v>
          </cell>
          <cell r="P18">
            <v>5.2885517167459567E-3</v>
          </cell>
        </row>
        <row r="19">
          <cell r="C19">
            <v>6.0556999999999998E-3</v>
          </cell>
          <cell r="P19">
            <v>5.3919946319583821E-3</v>
          </cell>
        </row>
        <row r="20">
          <cell r="C20">
            <v>6.1782E-3</v>
          </cell>
          <cell r="P20">
            <v>5.4825072445578403E-3</v>
          </cell>
        </row>
        <row r="21">
          <cell r="C21">
            <v>6.2481000000000004E-3</v>
          </cell>
          <cell r="P21">
            <v>5.5623713292372165E-3</v>
          </cell>
        </row>
        <row r="22">
          <cell r="C22">
            <v>6.2651E-3</v>
          </cell>
          <cell r="P22">
            <v>5.6333616302423513E-3</v>
          </cell>
        </row>
        <row r="23">
          <cell r="C23">
            <v>6.2505E-3</v>
          </cell>
          <cell r="P23">
            <v>5.6968792688201529E-3</v>
          </cell>
        </row>
        <row r="24">
          <cell r="C24">
            <v>6.2040000000000003E-3</v>
          </cell>
          <cell r="P24">
            <v>5.7540451437392013E-3</v>
          </cell>
        </row>
        <row r="25">
          <cell r="C25">
            <v>6.1364999999999996E-3</v>
          </cell>
          <cell r="P25">
            <v>5.8057666496656706E-3</v>
          </cell>
        </row>
        <row r="26">
          <cell r="C26">
            <v>6.0479000000000002E-3</v>
          </cell>
          <cell r="P26">
            <v>5.8527862005191712E-3</v>
          </cell>
        </row>
        <row r="27">
          <cell r="C27">
            <v>5.9489E-3</v>
          </cell>
          <cell r="P27">
            <v>5.8957170947793874E-3</v>
          </cell>
        </row>
        <row r="28">
          <cell r="C28">
            <v>5.8396000000000003E-3</v>
          </cell>
          <cell r="P28">
            <v>5.9350704145185564E-3</v>
          </cell>
        </row>
        <row r="29">
          <cell r="C29">
            <v>5.7092000000000002E-3</v>
          </cell>
          <cell r="P29">
            <v>5.9712754686787389E-3</v>
          </cell>
        </row>
        <row r="30">
          <cell r="C30">
            <v>5.5792999999999997E-3</v>
          </cell>
          <cell r="P30">
            <v>6.0046955186727896E-3</v>
          </cell>
        </row>
        <row r="31">
          <cell r="C31">
            <v>5.4390999999999997E-3</v>
          </cell>
          <cell r="P31">
            <v>6.0356400094080326E-3</v>
          </cell>
        </row>
        <row r="32">
          <cell r="C32">
            <v>5.2887000000000003E-3</v>
          </cell>
          <cell r="P32">
            <v>6.0643741793764746E-3</v>
          </cell>
        </row>
        <row r="33">
          <cell r="C33">
            <v>5.1495000000000004E-3</v>
          </cell>
          <cell r="P33">
            <v>6.0911266824505393E-3</v>
          </cell>
        </row>
        <row r="34">
          <cell r="C34">
            <v>5.0214999999999999E-3</v>
          </cell>
          <cell r="P34">
            <v>6.1160956853196693E-3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A1331-9755-4478-957D-50E85A2C841B}">
  <sheetPr codeName="Sheet11"/>
  <dimension ref="B3:P34"/>
  <sheetViews>
    <sheetView showGridLines="0" tabSelected="1" zoomScale="80" zoomScaleNormal="80" workbookViewId="0">
      <selection activeCell="D1" sqref="D1:D1048576"/>
    </sheetView>
  </sheetViews>
  <sheetFormatPr defaultRowHeight="15" x14ac:dyDescent="0.25"/>
  <cols>
    <col min="1" max="1" width="7.5703125" customWidth="1"/>
    <col min="2" max="2" width="10.140625" customWidth="1"/>
    <col min="3" max="3" width="26.28515625" customWidth="1"/>
    <col min="4" max="4" width="28.5703125" customWidth="1"/>
    <col min="5" max="12" width="14.85546875" customWidth="1"/>
    <col min="13" max="13" width="1.42578125" customWidth="1"/>
    <col min="15" max="15" width="13.85546875" bestFit="1" customWidth="1"/>
    <col min="16" max="16" width="18.5703125" customWidth="1"/>
    <col min="17" max="17" width="1.42578125" customWidth="1"/>
    <col min="18" max="18" width="11.85546875" bestFit="1" customWidth="1"/>
    <col min="19" max="19" width="12.5703125" bestFit="1" customWidth="1"/>
    <col min="20" max="20" width="10.85546875" bestFit="1" customWidth="1"/>
    <col min="21" max="21" width="16.85546875" bestFit="1" customWidth="1"/>
    <col min="22" max="22" width="11.85546875" bestFit="1" customWidth="1"/>
    <col min="23" max="23" width="15.7109375" bestFit="1" customWidth="1"/>
    <col min="24" max="28" width="16.85546875" customWidth="1"/>
    <col min="29" max="29" width="16.140625" bestFit="1" customWidth="1"/>
    <col min="30" max="30" width="12.85546875" bestFit="1" customWidth="1"/>
    <col min="31" max="31" width="12.28515625" bestFit="1" customWidth="1"/>
  </cols>
  <sheetData>
    <row r="3" spans="2:16" ht="8.1" customHeight="1" x14ac:dyDescent="0.25"/>
    <row r="4" spans="2:16" x14ac:dyDescent="0.25">
      <c r="B4" s="1" t="s">
        <v>0</v>
      </c>
      <c r="C4" s="2" t="s">
        <v>1</v>
      </c>
      <c r="E4" s="3" t="s">
        <v>2</v>
      </c>
      <c r="F4" s="4"/>
      <c r="G4" s="4"/>
      <c r="H4" s="4"/>
      <c r="I4" s="4"/>
      <c r="J4" s="4"/>
      <c r="K4" s="4"/>
      <c r="L4" s="5"/>
      <c r="N4" s="6" t="s">
        <v>0</v>
      </c>
      <c r="O4" s="7" t="s">
        <v>3</v>
      </c>
      <c r="P4" s="8" t="s">
        <v>4</v>
      </c>
    </row>
    <row r="5" spans="2:16" x14ac:dyDescent="0.25">
      <c r="B5" s="9">
        <v>1</v>
      </c>
      <c r="C5" s="10">
        <v>-3.9370999999999998E-3</v>
      </c>
      <c r="E5" s="11" t="s">
        <v>5</v>
      </c>
      <c r="F5" s="12" t="s">
        <v>6</v>
      </c>
      <c r="G5" s="13" t="s">
        <v>7</v>
      </c>
      <c r="H5" s="12" t="s">
        <v>8</v>
      </c>
      <c r="I5" s="13" t="s">
        <v>9</v>
      </c>
      <c r="J5" s="12" t="s">
        <v>10</v>
      </c>
      <c r="K5" s="14" t="s">
        <v>11</v>
      </c>
      <c r="L5" s="7" t="s">
        <v>12</v>
      </c>
      <c r="N5" s="15">
        <v>1</v>
      </c>
      <c r="O5" s="16" cm="1">
        <f t="array" ref="O5">NSSmodelZC(N5,$E$6,$F$6,$G$6,$H$6,$I$6,$J$6)</f>
        <v>-3.9130405985741273E-3</v>
      </c>
      <c r="P5" s="17">
        <f>(C5-O5)^2</f>
        <v>5.7885479697127395E-10</v>
      </c>
    </row>
    <row r="6" spans="2:16" x14ac:dyDescent="0.25">
      <c r="B6" s="18">
        <v>2</v>
      </c>
      <c r="C6" s="19">
        <v>9.9170000000000009E-4</v>
      </c>
      <c r="E6" s="20">
        <v>6.8401967685243984E-3</v>
      </c>
      <c r="F6" s="21">
        <v>-0.61559326791251556</v>
      </c>
      <c r="G6" s="22">
        <v>0.71658652754941488</v>
      </c>
      <c r="H6" s="21">
        <v>-6.9854119209499368E-2</v>
      </c>
      <c r="I6" s="22">
        <v>3.7762533868797648</v>
      </c>
      <c r="J6" s="21">
        <v>1.4412618407572733</v>
      </c>
      <c r="K6" s="23">
        <f>SUM(P5:P34)</f>
        <v>7.072398177000963E-6</v>
      </c>
      <c r="L6" s="24">
        <f>RSQ(C5:C34,O5:O34)</f>
        <v>0.9530739705554454</v>
      </c>
      <c r="N6" s="15">
        <v>2</v>
      </c>
      <c r="O6" s="16" cm="1">
        <f t="array" ref="O6">NSSmodelZC(N6,$E$6,$F$6,$G$6,$H$6,$I$6,$J$6)</f>
        <v>8.6388666789469909E-4</v>
      </c>
      <c r="P6" s="17">
        <f>(C6-O6)^2</f>
        <v>1.6336247863859969E-8</v>
      </c>
    </row>
    <row r="7" spans="2:16" x14ac:dyDescent="0.25">
      <c r="B7" s="18">
        <v>3</v>
      </c>
      <c r="C7" s="19">
        <v>7.0100000000000002E-4</v>
      </c>
      <c r="N7" s="15">
        <v>3</v>
      </c>
      <c r="O7" s="16" cm="1">
        <f t="array" ref="O7">NSSmodelZC(N7,$E$6,$F$6,$G$6,$H$6,$I$6,$J$6)</f>
        <v>7.3006331662296871E-4</v>
      </c>
      <c r="P7" s="17">
        <f>(C7-O7)^2</f>
        <v>8.4467637312692819E-10</v>
      </c>
    </row>
    <row r="8" spans="2:16" x14ac:dyDescent="0.25">
      <c r="B8" s="18">
        <v>4</v>
      </c>
      <c r="C8" s="19">
        <v>1.7043E-3</v>
      </c>
      <c r="N8" s="15">
        <v>4</v>
      </c>
      <c r="O8" s="16" cm="1">
        <f t="array" ref="O8">NSSmodelZC(N8,$E$6,$F$6,$G$6,$H$6,$I$6,$J$6)</f>
        <v>1.6662386223428045E-3</v>
      </c>
      <c r="P8" s="17">
        <f>(C8-O8)^2</f>
        <v>1.4486684691636599E-9</v>
      </c>
    </row>
    <row r="9" spans="2:16" x14ac:dyDescent="0.25">
      <c r="B9" s="18">
        <v>5</v>
      </c>
      <c r="C9" s="19">
        <v>2.3376999999999998E-3</v>
      </c>
      <c r="N9" s="15">
        <v>5</v>
      </c>
      <c r="O9" s="16" cm="1">
        <f t="array" ref="O9">NSSmodelZC(N9,$E$6,$F$6,$G$6,$H$6,$I$6,$J$6)</f>
        <v>2.5546012949456045E-3</v>
      </c>
      <c r="P9" s="17">
        <f>(C9-O9)^2</f>
        <v>4.7046171749080179E-8</v>
      </c>
    </row>
    <row r="10" spans="2:16" x14ac:dyDescent="0.25">
      <c r="B10" s="18">
        <v>6</v>
      </c>
      <c r="C10" s="19">
        <v>2.8211E-3</v>
      </c>
      <c r="N10" s="15">
        <v>6</v>
      </c>
      <c r="O10" s="16" cm="1">
        <f t="array" ref="O10">NSSmodelZC(N10,$E$6,$F$6,$G$6,$H$6,$I$6,$J$6)</f>
        <v>3.2333724259044679E-3</v>
      </c>
      <c r="P10" s="17">
        <f>(C10-O10)^2</f>
        <v>1.69968553161155E-7</v>
      </c>
    </row>
    <row r="11" spans="2:16" x14ac:dyDescent="0.25">
      <c r="B11" s="18">
        <v>7</v>
      </c>
      <c r="C11" s="19">
        <v>3.2856999999999999E-3</v>
      </c>
      <c r="N11" s="15">
        <v>7</v>
      </c>
      <c r="O11" s="16" cm="1">
        <f t="array" ref="O11">NSSmodelZC(N11,$E$6,$F$6,$G$6,$H$6,$I$6,$J$6)</f>
        <v>3.7400958351802354E-3</v>
      </c>
      <c r="P11" s="17">
        <f>(C11-O11)^2</f>
        <v>2.0647557502914378E-7</v>
      </c>
    </row>
    <row r="12" spans="2:16" x14ac:dyDescent="0.25">
      <c r="B12" s="18">
        <v>8</v>
      </c>
      <c r="C12" s="19">
        <v>3.7620000000000002E-3</v>
      </c>
      <c r="N12" s="15">
        <v>8</v>
      </c>
      <c r="O12" s="16" cm="1">
        <f t="array" ref="O12">NSSmodelZC(N12,$E$6,$F$6,$G$6,$H$6,$I$6,$J$6)</f>
        <v>4.1255639094415321E-3</v>
      </c>
      <c r="P12" s="17">
        <f>(C12-O12)^2</f>
        <v>1.3217871624841045E-7</v>
      </c>
    </row>
    <row r="13" spans="2:16" x14ac:dyDescent="0.25">
      <c r="B13" s="18">
        <v>9</v>
      </c>
      <c r="C13" s="19">
        <v>4.2196000000000004E-3</v>
      </c>
      <c r="N13" s="15">
        <v>9</v>
      </c>
      <c r="O13" s="16" cm="1">
        <f t="array" ref="O13">NSSmodelZC(N13,$E$6,$F$6,$G$6,$H$6,$I$6,$J$6)</f>
        <v>4.4267014986575873E-3</v>
      </c>
      <c r="P13" s="17">
        <f>(C13-O13)^2</f>
        <v>4.289103074621847E-8</v>
      </c>
    </row>
    <row r="14" spans="2:16" x14ac:dyDescent="0.25">
      <c r="B14" s="18">
        <v>10</v>
      </c>
      <c r="C14" s="19">
        <v>4.6277000000000002E-3</v>
      </c>
      <c r="N14" s="15">
        <v>10</v>
      </c>
      <c r="O14" s="16" cm="1">
        <f t="array" ref="O14">NSSmodelZC(N14,$E$6,$F$6,$G$6,$H$6,$I$6,$J$6)</f>
        <v>4.6679346343475678E-3</v>
      </c>
      <c r="P14" s="17">
        <f>(C14-O14)^2</f>
        <v>1.618825801082469E-9</v>
      </c>
    </row>
    <row r="15" spans="2:16" x14ac:dyDescent="0.25">
      <c r="B15" s="18">
        <v>11</v>
      </c>
      <c r="C15" s="19">
        <v>5.0168000000000001E-3</v>
      </c>
      <c r="N15" s="15">
        <v>11</v>
      </c>
      <c r="O15" s="16" cm="1">
        <f t="array" ref="O15">NSSmodelZC(N15,$E$6,$F$6,$G$6,$H$6,$I$6,$J$6)</f>
        <v>4.8653853042298894E-3</v>
      </c>
      <c r="P15" s="17">
        <f>(C15-O15)^2</f>
        <v>2.2926410095155176E-8</v>
      </c>
    </row>
    <row r="16" spans="2:16" x14ac:dyDescent="0.25">
      <c r="B16" s="18">
        <v>12</v>
      </c>
      <c r="C16" s="19">
        <v>5.3454000000000002E-3</v>
      </c>
      <c r="N16" s="15">
        <v>12</v>
      </c>
      <c r="O16" s="16" cm="1">
        <f t="array" ref="O16">NSSmodelZC(N16,$E$6,$F$6,$G$6,$H$6,$I$6,$J$6)</f>
        <v>5.0299463378055192E-3</v>
      </c>
      <c r="P16" s="17">
        <f>(C16-O16)^2</f>
        <v>9.9511012991909688E-8</v>
      </c>
    </row>
    <row r="17" spans="2:16" x14ac:dyDescent="0.25">
      <c r="B17" s="18">
        <v>13</v>
      </c>
      <c r="C17" s="19">
        <v>5.6439999999999997E-3</v>
      </c>
      <c r="N17" s="15">
        <v>13</v>
      </c>
      <c r="O17" s="16" cm="1">
        <f t="array" ref="O17">NSSmodelZC(N17,$E$6,$F$6,$G$6,$H$6,$I$6,$J$6)</f>
        <v>5.1691948054289599E-3</v>
      </c>
      <c r="P17" s="17">
        <f>(C17-O17)^2</f>
        <v>2.2543997279164302E-7</v>
      </c>
    </row>
    <row r="18" spans="2:16" x14ac:dyDescent="0.25">
      <c r="B18" s="18">
        <v>14</v>
      </c>
      <c r="C18" s="19">
        <v>5.8809999999999999E-3</v>
      </c>
      <c r="N18" s="15">
        <v>14</v>
      </c>
      <c r="O18" s="16" cm="1">
        <f t="array" ref="O18">NSSmodelZC(N18,$E$6,$F$6,$G$6,$H$6,$I$6,$J$6)</f>
        <v>5.2885517167459567E-3</v>
      </c>
      <c r="P18" s="17">
        <f>(C18-O18)^2</f>
        <v>3.5099496833066304E-7</v>
      </c>
    </row>
    <row r="19" spans="2:16" x14ac:dyDescent="0.25">
      <c r="B19" s="18">
        <v>15</v>
      </c>
      <c r="C19" s="19">
        <v>6.0556999999999998E-3</v>
      </c>
      <c r="N19" s="15">
        <v>15</v>
      </c>
      <c r="O19" s="16" cm="1">
        <f t="array" ref="O19">NSSmodelZC(N19,$E$6,$F$6,$G$6,$H$6,$I$6,$J$6)</f>
        <v>5.3919946319583821E-3</v>
      </c>
      <c r="P19" s="17">
        <f>(C19-O19)^2</f>
        <v>4.4050481556725919E-7</v>
      </c>
    </row>
    <row r="20" spans="2:16" x14ac:dyDescent="0.25">
      <c r="B20" s="18">
        <v>16</v>
      </c>
      <c r="C20" s="19">
        <v>6.1782E-3</v>
      </c>
      <c r="N20" s="15">
        <v>16</v>
      </c>
      <c r="O20" s="16" cm="1">
        <f t="array" ref="O20">NSSmodelZC(N20,$E$6,$F$6,$G$6,$H$6,$I$6,$J$6)</f>
        <v>5.4825072445578403E-3</v>
      </c>
      <c r="P20" s="17">
        <f>(C20-O20)^2</f>
        <v>4.8398840997470467E-7</v>
      </c>
    </row>
    <row r="21" spans="2:16" x14ac:dyDescent="0.25">
      <c r="B21" s="18">
        <v>17</v>
      </c>
      <c r="C21" s="19">
        <v>6.2481000000000004E-3</v>
      </c>
      <c r="N21" s="15">
        <v>17</v>
      </c>
      <c r="O21" s="16" cm="1">
        <f t="array" ref="O21">NSSmodelZC(N21,$E$6,$F$6,$G$6,$H$6,$I$6,$J$6)</f>
        <v>5.5623713292372165E-3</v>
      </c>
      <c r="P21" s="17">
        <f>(C21-O21)^2</f>
        <v>4.7022380990609447E-7</v>
      </c>
    </row>
    <row r="22" spans="2:16" x14ac:dyDescent="0.25">
      <c r="B22" s="18">
        <v>18</v>
      </c>
      <c r="C22" s="19">
        <v>6.2651E-3</v>
      </c>
      <c r="N22" s="15">
        <v>18</v>
      </c>
      <c r="O22" s="16" cm="1">
        <f t="array" ref="O22">NSSmodelZC(N22,$E$6,$F$6,$G$6,$H$6,$I$6,$J$6)</f>
        <v>5.6333616302423513E-3</v>
      </c>
      <c r="P22" s="17">
        <f>(C22-O22)^2</f>
        <v>3.9909336782405172E-7</v>
      </c>
    </row>
    <row r="23" spans="2:16" x14ac:dyDescent="0.25">
      <c r="B23" s="18">
        <v>19</v>
      </c>
      <c r="C23" s="19">
        <v>6.2505E-3</v>
      </c>
      <c r="N23" s="15">
        <v>19</v>
      </c>
      <c r="O23" s="16" cm="1">
        <f t="array" ref="O23">NSSmodelZC(N23,$E$6,$F$6,$G$6,$H$6,$I$6,$J$6)</f>
        <v>5.6968792688201529E-3</v>
      </c>
      <c r="P23" s="17">
        <f>(C23-O23)^2</f>
        <v>3.0649591399210846E-7</v>
      </c>
    </row>
    <row r="24" spans="2:16" x14ac:dyDescent="0.25">
      <c r="B24" s="18">
        <v>20</v>
      </c>
      <c r="C24" s="19">
        <v>6.2040000000000003E-3</v>
      </c>
      <c r="N24" s="15">
        <v>20</v>
      </c>
      <c r="O24" s="16" cm="1">
        <f t="array" ref="O24">NSSmodelZC(N24,$E$6,$F$6,$G$6,$H$6,$I$6,$J$6)</f>
        <v>5.7540451437392013E-3</v>
      </c>
      <c r="P24" s="17">
        <f>(C24-O24)^2</f>
        <v>2.0245937267267632E-7</v>
      </c>
    </row>
    <row r="25" spans="2:16" x14ac:dyDescent="0.25">
      <c r="B25" s="18">
        <v>21</v>
      </c>
      <c r="C25" s="19">
        <v>6.1364999999999996E-3</v>
      </c>
      <c r="N25" s="15">
        <v>21</v>
      </c>
      <c r="O25" s="16" cm="1">
        <f t="array" ref="O25">NSSmodelZC(N25,$E$6,$F$6,$G$6,$H$6,$I$6,$J$6)</f>
        <v>5.8057666496656706E-3</v>
      </c>
      <c r="P25" s="17">
        <f>(C25-O25)^2</f>
        <v>1.0938454902336998E-7</v>
      </c>
    </row>
    <row r="26" spans="2:16" x14ac:dyDescent="0.25">
      <c r="B26" s="18">
        <v>22</v>
      </c>
      <c r="C26" s="19">
        <v>6.0479000000000002E-3</v>
      </c>
      <c r="N26" s="15">
        <v>22</v>
      </c>
      <c r="O26" s="16" cm="1">
        <f t="array" ref="O26">NSSmodelZC(N26,$E$6,$F$6,$G$6,$H$6,$I$6,$J$6)</f>
        <v>5.8527862005191712E-3</v>
      </c>
      <c r="P26" s="17">
        <f>(C26-O26)^2</f>
        <v>3.8069394747845146E-8</v>
      </c>
    </row>
    <row r="27" spans="2:16" x14ac:dyDescent="0.25">
      <c r="B27" s="18">
        <v>23</v>
      </c>
      <c r="C27" s="19">
        <v>5.9489E-3</v>
      </c>
      <c r="N27" s="15">
        <v>23</v>
      </c>
      <c r="O27" s="16" cm="1">
        <f t="array" ref="O27">NSSmodelZC(N27,$E$6,$F$6,$G$6,$H$6,$I$6,$J$6)</f>
        <v>5.8957170947793874E-3</v>
      </c>
      <c r="P27" s="17">
        <f>(C27-O27)^2</f>
        <v>2.8284214077046614E-9</v>
      </c>
    </row>
    <row r="28" spans="2:16" x14ac:dyDescent="0.25">
      <c r="B28" s="18">
        <v>24</v>
      </c>
      <c r="C28" s="19">
        <v>5.8396000000000003E-3</v>
      </c>
      <c r="N28" s="15">
        <v>24</v>
      </c>
      <c r="O28" s="16" cm="1">
        <f t="array" ref="O28">NSSmodelZC(N28,$E$6,$F$6,$G$6,$H$6,$I$6,$J$6)</f>
        <v>5.9350704145185564E-3</v>
      </c>
      <c r="P28" s="17">
        <f>(C28-O28)^2</f>
        <v>9.1146000483449158E-9</v>
      </c>
    </row>
    <row r="29" spans="2:16" x14ac:dyDescent="0.25">
      <c r="B29" s="18">
        <v>25</v>
      </c>
      <c r="C29" s="19">
        <v>5.7092000000000002E-3</v>
      </c>
      <c r="N29" s="15">
        <v>25</v>
      </c>
      <c r="O29" s="16" cm="1">
        <f t="array" ref="O29">NSSmodelZC(N29,$E$6,$F$6,$G$6,$H$6,$I$6,$J$6)</f>
        <v>5.9712754686787389E-3</v>
      </c>
      <c r="P29" s="17">
        <f>(C29-O29)^2</f>
        <v>6.8683551283180539E-8</v>
      </c>
    </row>
    <row r="30" spans="2:16" x14ac:dyDescent="0.25">
      <c r="B30" s="18">
        <v>26</v>
      </c>
      <c r="C30" s="19">
        <v>5.5792999999999997E-3</v>
      </c>
      <c r="N30" s="15">
        <v>26</v>
      </c>
      <c r="O30" s="16" cm="1">
        <f t="array" ref="O30">NSSmodelZC(N30,$E$6,$F$6,$G$6,$H$6,$I$6,$J$6)</f>
        <v>6.0046955186727896E-3</v>
      </c>
      <c r="P30" s="17">
        <f>(C30-O30)^2</f>
        <v>1.8096134730689194E-7</v>
      </c>
    </row>
    <row r="31" spans="2:16" x14ac:dyDescent="0.25">
      <c r="B31" s="18">
        <v>27</v>
      </c>
      <c r="C31" s="19">
        <v>5.4390999999999997E-3</v>
      </c>
      <c r="N31" s="15">
        <v>27</v>
      </c>
      <c r="O31" s="16" cm="1">
        <f t="array" ref="O31">NSSmodelZC(N31,$E$6,$F$6,$G$6,$H$6,$I$6,$J$6)</f>
        <v>6.0356400094080326E-3</v>
      </c>
      <c r="P31" s="17">
        <f>(C31-O31)^2</f>
        <v>3.5585998282453602E-7</v>
      </c>
    </row>
    <row r="32" spans="2:16" x14ac:dyDescent="0.25">
      <c r="B32" s="18">
        <v>28</v>
      </c>
      <c r="C32" s="19">
        <v>5.2887000000000003E-3</v>
      </c>
      <c r="N32" s="15">
        <v>28</v>
      </c>
      <c r="O32" s="16" cm="1">
        <f t="array" ref="O32">NSSmodelZC(N32,$E$6,$F$6,$G$6,$H$6,$I$6,$J$6)</f>
        <v>6.0643741793764746E-3</v>
      </c>
      <c r="P32" s="17">
        <f>(C32-O32)^2</f>
        <v>6.0167043255136677E-7</v>
      </c>
    </row>
    <row r="33" spans="2:16" x14ac:dyDescent="0.25">
      <c r="B33" s="18">
        <v>29</v>
      </c>
      <c r="C33" s="19">
        <v>5.1495000000000004E-3</v>
      </c>
      <c r="N33" s="15">
        <v>29</v>
      </c>
      <c r="O33" s="16" cm="1">
        <f t="array" ref="O33">NSSmodelZC(N33,$E$6,$F$6,$G$6,$H$6,$I$6,$J$6)</f>
        <v>6.0911266824505393E-3</v>
      </c>
      <c r="P33" s="17">
        <f>(C33-O33)^2</f>
        <v>8.8666080910280804E-7</v>
      </c>
    </row>
    <row r="34" spans="2:16" x14ac:dyDescent="0.25">
      <c r="B34" s="25">
        <v>30</v>
      </c>
      <c r="C34" s="26">
        <v>5.0214999999999999E-3</v>
      </c>
      <c r="N34" s="27">
        <v>30</v>
      </c>
      <c r="O34" s="28" cm="1">
        <f t="array" ref="O34">NSSmodelZC(N34,$E$6,$F$6,$G$6,$H$6,$I$6,$J$6)</f>
        <v>6.1160956853196693E-3</v>
      </c>
      <c r="P34" s="29">
        <f>(C34-O34)^2</f>
        <v>1.1981397143204367E-6</v>
      </c>
    </row>
  </sheetData>
  <mergeCells count="1">
    <mergeCell ref="E4:L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SolverNSS">
                <anchor moveWithCells="1" sizeWithCells="1">
                  <from>
                    <xdr:col>4</xdr:col>
                    <xdr:colOff>0</xdr:colOff>
                    <xdr:row>0</xdr:row>
                    <xdr:rowOff>85725</xdr:rowOff>
                  </from>
                  <to>
                    <xdr:col>12</xdr:col>
                    <xdr:colOff>9525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ZC Yield Curve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7618</dc:creator>
  <cp:lastModifiedBy>7618</cp:lastModifiedBy>
  <dcterms:created xsi:type="dcterms:W3CDTF">2024-10-17T14:20:46Z</dcterms:created>
  <dcterms:modified xsi:type="dcterms:W3CDTF">2024-10-17T14:22:04Z</dcterms:modified>
</cp:coreProperties>
</file>